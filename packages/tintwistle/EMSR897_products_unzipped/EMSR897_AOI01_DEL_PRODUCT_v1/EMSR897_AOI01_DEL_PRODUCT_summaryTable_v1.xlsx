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_ACT\EMSR897-AOI-01-TINTWISTLEMOOR\08OUTPUT\EMSR897\AOI01\DEL_PRODUCT__old\FCT\"/>
    </mc:Choice>
  </mc:AlternateContent>
  <xr:revisionPtr revIDLastSave="0" documentId="13_ncr:1_{A9FDB523-C76D-4F6A-8C6B-1D78D0E17407}" xr6:coauthVersionLast="47" xr6:coauthVersionMax="47" xr10:uidLastSave="{00000000-0000-0000-0000-000000000000}"/>
  <bookViews>
    <workbookView xWindow="-120" yWindow="-120" windowWidth="38640" windowHeight="21120" tabRatio="844" activeTab="3" xr2:uid="{00000000-000D-0000-FFFF-FFFF00000000}"/>
  </bookViews>
  <sheets>
    <sheet name="Info_Delineation" sheetId="1" r:id="rId1"/>
    <sheet name="Delineation" sheetId="2" r:id="rId2"/>
    <sheet name="Pop_Statistics" sheetId="3" r:id="rId3"/>
    <sheet name="_observedEventA_v1_aoi" sheetId="4" r:id="rId4"/>
    <sheet name="_builtUpA_v1_aoi" sheetId="5" r:id="rId5"/>
    <sheet name="_transportationL_v1_aoi" sheetId="6" r:id="rId6"/>
    <sheet name="_transportationL_v1_aff" sheetId="7" r:id="rId7"/>
    <sheet name="_facilitiesA_v1_aoi" sheetId="8" r:id="rId8"/>
    <sheet name="_facilitiesL_v1_aoi" sheetId="9" r:id="rId9"/>
    <sheet name="_naturalLandUseA_v1_aoi" sheetId="10" r:id="rId10"/>
    <sheet name="_naturalLandUseA_v1_af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A67" i="2"/>
  <c r="A64" i="2"/>
  <c r="A63" i="2"/>
  <c r="A62" i="2"/>
  <c r="A46" i="2"/>
  <c r="A45" i="2"/>
</calcChain>
</file>

<file path=xl/sharedStrings.xml><?xml version="1.0" encoding="utf-8"?>
<sst xmlns="http://schemas.openxmlformats.org/spreadsheetml/2006/main" count="418" uniqueCount="137">
  <si>
    <t>Consequences Table - Delineation</t>
  </si>
  <si>
    <t xml:space="preserve">The tables provide summary figures specifically detailing the exposed population, assets, and land use within the Area of Interest (AOI). </t>
  </si>
  <si>
    <t>Additionally, it depicts the extent of the event and the number of affected assets within the event area.</t>
  </si>
  <si>
    <t xml:space="preserve"> - Each sheet displays figures for individual layers, differentiated according to the whole AOI (_aoi) and the affected area (_aff). </t>
  </si>
  <si>
    <t xml:space="preserve"> - In cases where no reference products were produced, the numbers of the entire AOI may be incomplete, as the features are directly derived from OSM and have not undergone further refinement.</t>
  </si>
  <si>
    <t>EMSR897 AOI: 01 Tintwistle Moor Delineation</t>
  </si>
  <si>
    <t>Consequences within the AOI</t>
  </si>
  <si>
    <t>LATEST IMPACT</t>
  </si>
  <si>
    <t xml:space="preserve">Unit of measurement </t>
  </si>
  <si>
    <t>Imagery-based observation</t>
  </si>
  <si>
    <t>Crisis information</t>
  </si>
  <si>
    <t>Burnt area</t>
  </si>
  <si>
    <t>ha</t>
  </si>
  <si>
    <t>POTENTIALLY AFFECTED</t>
  </si>
  <si>
    <t>Total in AOI</t>
  </si>
  <si>
    <t>Estimated population</t>
  </si>
  <si>
    <t>Inhabitants</t>
  </si>
  <si>
    <t>No.</t>
  </si>
  <si>
    <t>Assets</t>
  </si>
  <si>
    <t>Built-up</t>
  </si>
  <si>
    <t>Residential Buildings</t>
  </si>
  <si>
    <t>Office buildings</t>
  </si>
  <si>
    <t>Wholesale and retail trade buildings</t>
  </si>
  <si>
    <t>Industrial buildings</t>
  </si>
  <si>
    <t>School, university and research buildings</t>
  </si>
  <si>
    <t>Hospital or institutional care buildings</t>
  </si>
  <si>
    <t>Military</t>
  </si>
  <si>
    <t>Cemetery</t>
  </si>
  <si>
    <t>Transportation</t>
  </si>
  <si>
    <t>Highways</t>
  </si>
  <si>
    <t>km</t>
  </si>
  <si>
    <t>Primary Road</t>
  </si>
  <si>
    <t>Secondary Road</t>
  </si>
  <si>
    <t>Local Road</t>
  </si>
  <si>
    <t>Cart Track</t>
  </si>
  <si>
    <t>Railway Yard</t>
  </si>
  <si>
    <t>Tramway</t>
  </si>
  <si>
    <t>Long-distance railways</t>
  </si>
  <si>
    <t>Facilities</t>
  </si>
  <si>
    <t>Settling Basin</t>
  </si>
  <si>
    <t>Dams</t>
  </si>
  <si>
    <t>Constructions for mining or extraction</t>
  </si>
  <si>
    <t>Power plant constructions</t>
  </si>
  <si>
    <t>Sport and recreation constructions</t>
  </si>
  <si>
    <t>Other civil engineering works not elsewhere classified</t>
  </si>
  <si>
    <t>Long-distance pipelines, communication and electricity lines</t>
  </si>
  <si>
    <t>Local pipelines and cables</t>
  </si>
  <si>
    <t>Land use</t>
  </si>
  <si>
    <t xml:space="preserve">Inland wetlands </t>
  </si>
  <si>
    <t>Shrub and/or herbaceous vegetation association</t>
  </si>
  <si>
    <t xml:space="preserve">Forests </t>
  </si>
  <si>
    <t xml:space="preserve">Pastures </t>
  </si>
  <si>
    <t xml:space="preserve">Heterogeneous agricultural areas </t>
  </si>
  <si>
    <t>Other</t>
  </si>
  <si>
    <t>Disclaimer:</t>
  </si>
  <si>
    <t>Full disclaimer and other helpful information available in the online manual:</t>
  </si>
  <si>
    <t>Access to the portal</t>
  </si>
  <si>
    <t>Data Access:</t>
  </si>
  <si>
    <t xml:space="preserve">All data displayed on the map(s), as well as Land Use - Land Cover layer(s), </t>
  </si>
  <si>
    <t xml:space="preserve">are available in the Crisis Information Package and the Base Layer Package (for reference data). </t>
  </si>
  <si>
    <t>The table above is available in editable format in the Crisis Information Package.</t>
  </si>
  <si>
    <t>All products and data are also available for download on the portal.</t>
  </si>
  <si>
    <t>Estimated Population:</t>
  </si>
  <si>
    <t>Estimated population is based on Copernicus Global Human Settlement Layer (GHSL) dataset.</t>
  </si>
  <si>
    <t>Additional population datasets and analysis are available in the summary table.</t>
  </si>
  <si>
    <t>Data Sources:</t>
  </si>
  <si>
    <t>Inset Maps: Natural Earth 2023; HydroLAKES 2016 by HydroSHEDS;</t>
  </si>
  <si>
    <t>AOI: 01 Tintwistle Moor</t>
  </si>
  <si>
    <t>Data Source</t>
  </si>
  <si>
    <t>GHS_POP_E2020_GLOBE_R2023A_4326_3ss_v1-0</t>
  </si>
  <si>
    <t>GEOSTAT_2021_v1-0</t>
  </si>
  <si>
    <t>GPW_v4_Population_Count_Rev11_2020</t>
  </si>
  <si>
    <t>High_Resolution_Settlement_Layer_2020</t>
  </si>
  <si>
    <t>Landscan-Global-2022</t>
  </si>
  <si>
    <t>WorldPop_Constrained_UNadj_2025</t>
  </si>
  <si>
    <t>WorldPop_Unconstrained_UNadj_2020</t>
  </si>
  <si>
    <t>Mean</t>
  </si>
  <si>
    <t>Stdev</t>
  </si>
  <si>
    <t>CV in %</t>
  </si>
  <si>
    <t>Reliability</t>
  </si>
  <si>
    <t>Citations</t>
  </si>
  <si>
    <t>GHS-POP R2023A - GHS population grid (2023). European Commission, Joint Research Centre (JRC)</t>
  </si>
  <si>
    <t>Eurostat, Population and Migration</t>
  </si>
  <si>
    <t>Center for International Earth Science Information Network - CIESIN</t>
  </si>
  <si>
    <t>Facebook Connectivity Lab and Center for International Earth Science Information Network - CIESIN - Columbia University. 2016.</t>
  </si>
  <si>
    <t>LandScan (2022), UT-Battelle, LLC, operator of Oak Ridge National Laboratory</t>
  </si>
  <si>
    <t>WorldPop, University of Southampton, UK.</t>
  </si>
  <si>
    <t>Indications of the differences between the population datasets.</t>
  </si>
  <si>
    <t>very good: &lt; 20%_x000D_
good: 21% - 40%_x000D_
moderate: 41% - 60%_x000D_
poor: 61% - 80%_x000D_
very poor: &gt; 80%</t>
  </si>
  <si>
    <t>moderate</t>
  </si>
  <si>
    <t>Total Affected (EO-based)</t>
  </si>
  <si>
    <t>very poor</t>
  </si>
  <si>
    <t>_observedEventA_v1_aoi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</si>
  <si>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</si>
  <si>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</si>
  <si>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</si>
  <si>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</si>
  <si>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</si>
  <si>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</si>
  <si>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</si>
  <si>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</si>
  <si>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Land fire: Brush, bush, Pasture</t>
  </si>
  <si>
    <t>Wildfire</t>
  </si>
  <si>
    <t>Semi-automatic extraction</t>
  </si>
  <si>
    <t>_builtUpA_v1_aoi</t>
  </si>
  <si>
    <t>obj_type</t>
  </si>
  <si>
    <t>class</t>
  </si>
  <si>
    <t>info</t>
  </si>
  <si>
    <t>class_desc</t>
  </si>
  <si>
    <t>damage_gra</t>
  </si>
  <si>
    <t>or_src_id</t>
  </si>
  <si>
    <t>cd_value</t>
  </si>
  <si>
    <t>Non-residential Buildings</t>
  </si>
  <si>
    <t>No visible damage</t>
  </si>
  <si>
    <t>Building block</t>
  </si>
  <si>
    <t>Not Applicable</t>
  </si>
  <si>
    <t>_transportationL_v1_aoi</t>
  </si>
  <si>
    <t>Length</t>
  </si>
  <si>
    <t>Highways, Streets and Roads</t>
  </si>
  <si>
    <t>Railways</t>
  </si>
  <si>
    <t>_transportationL_v1_aff</t>
  </si>
  <si>
    <t>_facilitiesA_v1_aoi</t>
  </si>
  <si>
    <t>Harbours, waterways, dams and other waterworks</t>
  </si>
  <si>
    <t>Complex Constructions on Industrial Sites</t>
  </si>
  <si>
    <t>Other Civil Engineering Works</t>
  </si>
  <si>
    <t>_facilitiesL_v1_aoi</t>
  </si>
  <si>
    <t>Pipelines, Communication and Electricity Lines</t>
  </si>
  <si>
    <t>_naturalLandUseA_v1_aoi</t>
  </si>
  <si>
    <t>Agricultural Areas</t>
  </si>
  <si>
    <t>Pastures</t>
  </si>
  <si>
    <t>Not Affected</t>
  </si>
  <si>
    <t>Heterogeneous agricultural areas</t>
  </si>
  <si>
    <t>Forests and Semi-natural Areas</t>
  </si>
  <si>
    <t>Forests</t>
  </si>
  <si>
    <t>Wetlands</t>
  </si>
  <si>
    <t>Inland wetlands</t>
  </si>
  <si>
    <t>_naturalLandUseA_v1_aff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</si>
</sst>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&lt;0.004]0;[&lt;0.05]0.00;#,###,##0.0"/>
    <numFmt numFmtId="166" formatCode="&quot;~&quot;\ #,###,###"/>
    <numFmt numFmtId="167" formatCode="&quot;~&quot;\ #,###"/>
    <numFmt numFmtId="168" formatCode="#,###,##0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0"/>
      <color indexed="8"/>
      <name val="Arial Unicode MS"/>
    </font>
    <font>
      <sz val="11"/>
      <color theme="1"/>
      <name val="Arial"/>
      <family val="2"/>
    </font>
    <font>
      <b/>
      <sz val="16"/>
      <color rgb="FF0000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9933"/>
      <name val="Arial"/>
    </font>
    <font>
      <sz val="10"/>
      <color rgb="FF0000EE"/>
      <name val="Arial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9D9"/>
        <bgColor rgb="FFFFE9D9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EBF1DE"/>
        <bgColor rgb="FFEBF1DE"/>
      </patternFill>
    </fill>
    <fill>
      <patternFill patternType="solid">
        <fgColor rgb="FFFFFF66"/>
        <bgColor rgb="FFFFFF66"/>
      </patternFill>
    </fill>
    <fill>
      <patternFill patternType="solid">
        <fgColor rgb="FFFF6600"/>
        <bgColor rgb="FFFF66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14" fillId="0" borderId="0"/>
    <xf numFmtId="0" fontId="14" fillId="0" borderId="0"/>
    <xf numFmtId="0" fontId="14" fillId="0" borderId="0"/>
  </cellStyleXfs>
  <cellXfs count="92">
    <xf numFmtId="0" fontId="0" fillId="0" borderId="0" xfId="0"/>
    <xf numFmtId="0" fontId="0" fillId="2" borderId="0" xfId="0" applyFill="1"/>
    <xf numFmtId="0" fontId="6" fillId="0" borderId="0" xfId="0" applyFon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3" borderId="0" xfId="0" applyFont="1" applyFill="1"/>
    <xf numFmtId="0" fontId="9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right" vertical="center" wrapText="1"/>
    </xf>
    <xf numFmtId="0" fontId="13" fillId="3" borderId="0" xfId="0" applyFont="1" applyFill="1"/>
    <xf numFmtId="0" fontId="13" fillId="3" borderId="0" xfId="0" applyFont="1" applyFill="1" applyAlignment="1">
      <alignment wrapText="1"/>
    </xf>
    <xf numFmtId="164" fontId="1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8" xfId="0" applyFont="1" applyBorder="1"/>
    <xf numFmtId="0" fontId="18" fillId="0" borderId="8" xfId="0" applyFont="1" applyBorder="1" applyAlignment="1">
      <alignment horizontal="right" vertical="center"/>
    </xf>
    <xf numFmtId="0" fontId="17" fillId="0" borderId="8" xfId="0" applyFont="1" applyBorder="1"/>
    <xf numFmtId="165" fontId="18" fillId="5" borderId="8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vertical="top" wrapText="1"/>
    </xf>
    <xf numFmtId="0" fontId="11" fillId="0" borderId="9" xfId="0" applyFont="1" applyBorder="1" applyAlignment="1">
      <alignment horizontal="right" vertical="center" wrapText="1"/>
    </xf>
    <xf numFmtId="165" fontId="18" fillId="0" borderId="0" xfId="0" applyNumberFormat="1" applyFont="1" applyAlignment="1">
      <alignment horizontal="left" vertical="center"/>
    </xf>
    <xf numFmtId="165" fontId="18" fillId="0" borderId="0" xfId="0" applyNumberFormat="1" applyFont="1"/>
    <xf numFmtId="0" fontId="16" fillId="0" borderId="9" xfId="0" applyFont="1" applyBorder="1"/>
    <xf numFmtId="0" fontId="11" fillId="0" borderId="9" xfId="0" applyFont="1" applyBorder="1" applyAlignment="1">
      <alignment vertical="center" wrapText="1"/>
    </xf>
    <xf numFmtId="165" fontId="18" fillId="4" borderId="9" xfId="0" applyNumberFormat="1" applyFont="1" applyFill="1" applyBorder="1" applyAlignment="1">
      <alignment horizontal="center" vertical="center" wrapText="1"/>
    </xf>
    <xf numFmtId="165" fontId="18" fillId="0" borderId="9" xfId="0" applyNumberFormat="1" applyFont="1" applyBorder="1" applyAlignment="1">
      <alignment horizontal="center" vertical="center" wrapText="1"/>
    </xf>
    <xf numFmtId="0" fontId="16" fillId="0" borderId="10" xfId="0" applyFont="1" applyBorder="1"/>
    <xf numFmtId="0" fontId="11" fillId="0" borderId="10" xfId="0" applyFont="1" applyBorder="1" applyAlignment="1">
      <alignment vertical="top" wrapText="1"/>
    </xf>
    <xf numFmtId="0" fontId="1" fillId="0" borderId="10" xfId="0" applyFont="1" applyBorder="1" applyAlignment="1">
      <alignment vertical="center"/>
    </xf>
    <xf numFmtId="0" fontId="11" fillId="0" borderId="10" xfId="0" applyFont="1" applyBorder="1" applyAlignment="1">
      <alignment horizontal="right" vertical="center" wrapText="1"/>
    </xf>
    <xf numFmtId="165" fontId="18" fillId="4" borderId="10" xfId="0" applyNumberFormat="1" applyFont="1" applyFill="1" applyBorder="1" applyAlignment="1">
      <alignment horizontal="center" vertical="center" wrapText="1"/>
    </xf>
    <xf numFmtId="165" fontId="18" fillId="0" borderId="10" xfId="0" applyNumberFormat="1" applyFont="1" applyBorder="1" applyAlignment="1">
      <alignment horizontal="center" vertical="center" wrapText="1"/>
    </xf>
    <xf numFmtId="0" fontId="16" fillId="0" borderId="11" xfId="0" applyFont="1" applyBorder="1"/>
    <xf numFmtId="0" fontId="11" fillId="0" borderId="11" xfId="0" applyFont="1" applyBorder="1" applyAlignment="1">
      <alignment vertical="top" wrapText="1"/>
    </xf>
    <xf numFmtId="0" fontId="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right" vertical="center" wrapText="1"/>
    </xf>
    <xf numFmtId="165" fontId="18" fillId="4" borderId="11" xfId="0" applyNumberFormat="1" applyFont="1" applyFill="1" applyBorder="1" applyAlignment="1">
      <alignment horizontal="center" vertical="center" wrapText="1"/>
    </xf>
    <xf numFmtId="165" fontId="18" fillId="0" borderId="1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0" fillId="0" borderId="9" xfId="0" applyBorder="1"/>
    <xf numFmtId="0" fontId="11" fillId="0" borderId="9" xfId="0" applyFont="1" applyBorder="1"/>
    <xf numFmtId="0" fontId="12" fillId="0" borderId="9" xfId="0" applyFont="1" applyBorder="1" applyAlignment="1">
      <alignment vertical="center"/>
    </xf>
    <xf numFmtId="165" fontId="18" fillId="0" borderId="9" xfId="0" applyNumberFormat="1" applyFont="1" applyBorder="1" applyAlignment="1">
      <alignment horizontal="center" vertical="center"/>
    </xf>
    <xf numFmtId="0" fontId="0" fillId="0" borderId="10" xfId="0" applyBorder="1"/>
    <xf numFmtId="165" fontId="18" fillId="0" borderId="10" xfId="0" applyNumberFormat="1" applyFont="1" applyBorder="1" applyAlignment="1">
      <alignment horizontal="center" vertical="center"/>
    </xf>
    <xf numFmtId="0" fontId="0" fillId="0" borderId="11" xfId="0" applyBorder="1"/>
    <xf numFmtId="0" fontId="12" fillId="0" borderId="11" xfId="0" applyFont="1" applyBorder="1" applyAlignment="1">
      <alignment vertical="center"/>
    </xf>
    <xf numFmtId="165" fontId="18" fillId="0" borderId="1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167" fontId="18" fillId="4" borderId="3" xfId="0" applyNumberFormat="1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left" vertical="center"/>
    </xf>
    <xf numFmtId="0" fontId="17" fillId="6" borderId="8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168" fontId="0" fillId="7" borderId="8" xfId="0" applyNumberFormat="1" applyFill="1" applyBorder="1"/>
    <xf numFmtId="168" fontId="0" fillId="0" borderId="8" xfId="0" applyNumberFormat="1" applyBorder="1"/>
    <xf numFmtId="168" fontId="0" fillId="8" borderId="8" xfId="0" applyNumberFormat="1" applyFill="1" applyBorder="1"/>
    <xf numFmtId="0" fontId="0" fillId="8" borderId="8" xfId="0" applyFill="1" applyBorder="1"/>
    <xf numFmtId="0" fontId="0" fillId="9" borderId="8" xfId="0" applyFill="1" applyBorder="1"/>
    <xf numFmtId="0" fontId="0" fillId="10" borderId="8" xfId="0" applyFill="1" applyBorder="1"/>
  </cellXfs>
  <cellStyles count="5">
    <cellStyle name="Excel Built-in Normal" xfId="1" xr:uid="{00000000-0005-0000-0000-000001000000}"/>
    <cellStyle name="Normal" xfId="0" builtinId="0"/>
    <cellStyle name="Normale 2" xfId="2" xr:uid="{00000000-0005-0000-0000-000002000000}"/>
    <cellStyle name="Normale 3" xfId="3" xr:uid="{00000000-0005-0000-0000-000003000000}"/>
    <cellStyle name="Normale 3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44</xdr:row>
      <xdr:rowOff>0</xdr:rowOff>
    </xdr:from>
    <xdr:ext cx="1695450" cy="171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69</xdr:row>
      <xdr:rowOff>0</xdr:rowOff>
    </xdr:from>
    <xdr:ext cx="23812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</xdr:row>
      <xdr:rowOff>0</xdr:rowOff>
    </xdr:from>
    <xdr:ext cx="1533525" cy="619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9"/>
  <sheetViews>
    <sheetView workbookViewId="0"/>
  </sheetViews>
  <sheetFormatPr defaultColWidth="11.42578125" defaultRowHeight="15"/>
  <cols>
    <col min="2" max="2" width="154.7109375" bestFit="1" customWidth="1"/>
  </cols>
  <sheetData>
    <row r="1" spans="2:2">
      <c r="B1" s="21"/>
    </row>
    <row r="2" spans="2:2" ht="20.25" customHeight="1">
      <c r="B2" s="22" t="s">
        <v>0</v>
      </c>
    </row>
    <row r="3" spans="2:2">
      <c r="B3" s="21"/>
    </row>
    <row r="4" spans="2:2" ht="15.75" customHeight="1">
      <c r="B4" s="25" t="s">
        <v>1</v>
      </c>
    </row>
    <row r="5" spans="2:2" ht="15.75" customHeight="1">
      <c r="B5" s="25" t="s">
        <v>2</v>
      </c>
    </row>
    <row r="6" spans="2:2" ht="15.75" customHeight="1">
      <c r="B6" s="25"/>
    </row>
    <row r="7" spans="2:2" ht="15.75" customHeight="1">
      <c r="B7" s="25" t="s">
        <v>3</v>
      </c>
    </row>
    <row r="8" spans="2:2" ht="15.75" customHeight="1">
      <c r="B8" s="25"/>
    </row>
    <row r="9" spans="2:2" ht="30.75" customHeight="1">
      <c r="B9" s="26" t="s">
        <v>4</v>
      </c>
    </row>
  </sheetData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7"/>
  <sheetViews>
    <sheetView showGridLines="0" zoomScale="70" zoomScaleNormal="70" workbookViewId="0">
      <selection activeCell="E22" sqref="E22"/>
    </sheetView>
  </sheetViews>
  <sheetFormatPr defaultColWidth="9.140625" defaultRowHeight="15"/>
  <cols>
    <col min="1" max="1" width="24" customWidth="1"/>
    <col min="2" max="2" width="28.140625" customWidth="1"/>
    <col min="3" max="3" width="57" style="16" customWidth="1"/>
    <col min="4" max="4" width="14.28515625" style="12" customWidth="1"/>
    <col min="5" max="5" width="32.85546875" style="12" customWidth="1"/>
    <col min="6" max="6" width="15" style="11" customWidth="1"/>
    <col min="7" max="8" width="9.140625" customWidth="1"/>
    <col min="9" max="9" width="56" bestFit="1" customWidth="1"/>
    <col min="10" max="10" width="7.7109375" bestFit="1" customWidth="1"/>
    <col min="11" max="11" width="11.42578125" bestFit="1" customWidth="1"/>
    <col min="12" max="27" width="9.140625" customWidth="1"/>
    <col min="28" max="28" width="9.140625" style="1" customWidth="1"/>
    <col min="29" max="16384" width="9.140625" style="1"/>
  </cols>
  <sheetData>
    <row r="1" spans="1:11">
      <c r="A1" s="49" t="s">
        <v>5</v>
      </c>
      <c r="B1" s="17"/>
    </row>
    <row r="3" spans="1:11">
      <c r="A3" s="28" t="s">
        <v>6</v>
      </c>
      <c r="B3" s="33"/>
      <c r="C3" s="28"/>
      <c r="D3" s="28"/>
      <c r="E3" s="28"/>
      <c r="F3" s="28"/>
      <c r="G3" s="2"/>
      <c r="H3" s="2"/>
      <c r="I3" s="13"/>
      <c r="J3" s="13"/>
      <c r="K3" s="13"/>
    </row>
    <row r="4" spans="1:11">
      <c r="A4" s="28"/>
      <c r="B4" s="28"/>
      <c r="C4" s="28"/>
      <c r="D4" s="30"/>
      <c r="E4" s="35" t="s">
        <v>7</v>
      </c>
      <c r="F4" s="28"/>
      <c r="G4" s="2"/>
      <c r="H4" s="2"/>
      <c r="I4" s="13"/>
      <c r="J4" s="13"/>
      <c r="K4" s="13"/>
    </row>
    <row r="5" spans="1:11" ht="25.5" customHeight="1">
      <c r="A5" s="40"/>
      <c r="B5" s="20"/>
      <c r="C5" s="20"/>
      <c r="D5" s="23" t="s">
        <v>8</v>
      </c>
      <c r="E5" s="39" t="s">
        <v>9</v>
      </c>
      <c r="F5" s="40"/>
      <c r="G5" s="2"/>
      <c r="H5" s="2"/>
      <c r="I5" s="7"/>
      <c r="J5" s="7"/>
      <c r="K5" s="4"/>
    </row>
    <row r="6" spans="1:11">
      <c r="A6" s="45" t="s">
        <v>10</v>
      </c>
      <c r="B6" s="43" t="s">
        <v>11</v>
      </c>
      <c r="C6" s="43"/>
      <c r="D6" s="44" t="s">
        <v>12</v>
      </c>
      <c r="E6" s="46">
        <v>627.24486516100001</v>
      </c>
    </row>
    <row r="7" spans="1:11">
      <c r="A7" s="40"/>
      <c r="B7" s="19"/>
      <c r="C7" s="24"/>
      <c r="D7" s="24"/>
      <c r="E7" s="32"/>
      <c r="F7" s="27"/>
      <c r="G7" s="2"/>
      <c r="H7" s="2"/>
      <c r="I7" s="7"/>
      <c r="J7" s="7"/>
      <c r="K7" s="4"/>
    </row>
    <row r="8" spans="1:11">
      <c r="A8" s="40"/>
      <c r="B8" s="29"/>
      <c r="C8" s="31"/>
      <c r="D8" s="31"/>
      <c r="E8" s="34" t="s">
        <v>13</v>
      </c>
      <c r="F8" s="34" t="s">
        <v>14</v>
      </c>
      <c r="G8" s="2"/>
      <c r="H8" s="2"/>
      <c r="I8" s="7"/>
      <c r="J8" s="7"/>
      <c r="K8" s="4"/>
    </row>
    <row r="9" spans="1:11">
      <c r="A9" s="36" t="s">
        <v>15</v>
      </c>
      <c r="B9" s="18"/>
      <c r="C9" s="37" t="s">
        <v>16</v>
      </c>
      <c r="D9" s="38" t="s">
        <v>17</v>
      </c>
      <c r="E9" s="79">
        <v>20</v>
      </c>
      <c r="F9" s="78">
        <v>300000</v>
      </c>
      <c r="G9" s="2"/>
      <c r="H9" s="2"/>
      <c r="I9" s="3"/>
      <c r="J9" s="3"/>
      <c r="K9" s="6"/>
    </row>
    <row r="10" spans="1:11">
      <c r="A10" s="51" t="s">
        <v>18</v>
      </c>
      <c r="B10" s="47" t="s">
        <v>19</v>
      </c>
      <c r="C10" s="52" t="s">
        <v>20</v>
      </c>
      <c r="D10" s="48" t="s">
        <v>12</v>
      </c>
      <c r="E10" s="53">
        <v>0</v>
      </c>
      <c r="F10" s="54">
        <v>2169.3010405300001</v>
      </c>
      <c r="G10" s="2"/>
      <c r="H10" s="2"/>
      <c r="I10" s="8"/>
      <c r="J10" s="7"/>
      <c r="K10" s="9"/>
    </row>
    <row r="11" spans="1:11">
      <c r="A11" s="55"/>
      <c r="B11" s="56"/>
      <c r="C11" s="57" t="s">
        <v>21</v>
      </c>
      <c r="D11" s="58" t="s">
        <v>12</v>
      </c>
      <c r="E11" s="59">
        <v>0</v>
      </c>
      <c r="F11" s="60">
        <v>11.055161873099999</v>
      </c>
      <c r="G11" s="2"/>
      <c r="H11" s="2"/>
      <c r="I11" s="8"/>
      <c r="J11" s="7"/>
      <c r="K11" s="9"/>
    </row>
    <row r="12" spans="1:11">
      <c r="A12" s="55"/>
      <c r="B12" s="56"/>
      <c r="C12" s="57" t="s">
        <v>22</v>
      </c>
      <c r="D12" s="58" t="s">
        <v>12</v>
      </c>
      <c r="E12" s="59">
        <v>0</v>
      </c>
      <c r="F12" s="60">
        <v>70.073662470399995</v>
      </c>
      <c r="G12" s="2"/>
      <c r="H12" s="2"/>
      <c r="I12" s="2"/>
      <c r="J12" s="7"/>
      <c r="K12" s="9"/>
    </row>
    <row r="13" spans="1:11">
      <c r="A13" s="55"/>
      <c r="B13" s="56"/>
      <c r="C13" s="57" t="s">
        <v>23</v>
      </c>
      <c r="D13" s="58" t="s">
        <v>12</v>
      </c>
      <c r="E13" s="59">
        <v>0</v>
      </c>
      <c r="F13" s="60">
        <v>390.66948032800002</v>
      </c>
      <c r="G13" s="2"/>
      <c r="H13" s="2"/>
      <c r="I13" s="2"/>
      <c r="J13" s="7"/>
      <c r="K13" s="10"/>
    </row>
    <row r="14" spans="1:11">
      <c r="A14" s="55"/>
      <c r="B14" s="56"/>
      <c r="C14" s="57" t="s">
        <v>24</v>
      </c>
      <c r="D14" s="58" t="s">
        <v>12</v>
      </c>
      <c r="E14" s="59">
        <v>0</v>
      </c>
      <c r="F14" s="60">
        <v>205.56636774099999</v>
      </c>
      <c r="G14" s="2"/>
      <c r="H14" s="2"/>
      <c r="I14" s="2"/>
      <c r="J14" s="7"/>
      <c r="K14" s="10"/>
    </row>
    <row r="15" spans="1:11">
      <c r="A15" s="55"/>
      <c r="B15" s="56"/>
      <c r="C15" s="57" t="s">
        <v>25</v>
      </c>
      <c r="D15" s="58" t="s">
        <v>12</v>
      </c>
      <c r="E15" s="59">
        <v>0</v>
      </c>
      <c r="F15" s="60">
        <v>0.95941529299999995</v>
      </c>
    </row>
    <row r="16" spans="1:11">
      <c r="A16" s="55"/>
      <c r="B16" s="56"/>
      <c r="C16" s="57" t="s">
        <v>26</v>
      </c>
      <c r="D16" s="58" t="s">
        <v>12</v>
      </c>
      <c r="E16" s="59">
        <v>0</v>
      </c>
      <c r="F16" s="60">
        <v>9.4013142300000005E-2</v>
      </c>
    </row>
    <row r="17" spans="1:6">
      <c r="A17" s="61"/>
      <c r="B17" s="62"/>
      <c r="C17" s="63" t="s">
        <v>27</v>
      </c>
      <c r="D17" s="64" t="s">
        <v>12</v>
      </c>
      <c r="E17" s="65">
        <v>0</v>
      </c>
      <c r="F17" s="66">
        <v>32.790436938600003</v>
      </c>
    </row>
    <row r="18" spans="1:6">
      <c r="A18" s="51"/>
      <c r="B18" s="47" t="s">
        <v>28</v>
      </c>
      <c r="C18" s="67" t="s">
        <v>29</v>
      </c>
      <c r="D18" s="48" t="s">
        <v>30</v>
      </c>
      <c r="E18" s="53">
        <v>0</v>
      </c>
      <c r="F18" s="54">
        <v>78.654658189900005</v>
      </c>
    </row>
    <row r="19" spans="1:6">
      <c r="A19" s="55"/>
      <c r="B19" s="56"/>
      <c r="C19" s="57" t="s">
        <v>31</v>
      </c>
      <c r="D19" s="58" t="s">
        <v>30</v>
      </c>
      <c r="E19" s="59">
        <v>0</v>
      </c>
      <c r="F19" s="60">
        <v>122.52966377600001</v>
      </c>
    </row>
    <row r="20" spans="1:6">
      <c r="A20" s="55"/>
      <c r="B20" s="56"/>
      <c r="C20" s="57" t="s">
        <v>32</v>
      </c>
      <c r="D20" s="58" t="s">
        <v>30</v>
      </c>
      <c r="E20" s="59">
        <v>0</v>
      </c>
      <c r="F20" s="60">
        <v>54.1932052664</v>
      </c>
    </row>
    <row r="21" spans="1:6">
      <c r="A21" s="55"/>
      <c r="B21" s="56"/>
      <c r="C21" s="57" t="s">
        <v>33</v>
      </c>
      <c r="D21" s="58" t="s">
        <v>30</v>
      </c>
      <c r="E21" s="59">
        <v>0</v>
      </c>
      <c r="F21" s="60">
        <v>1145.7391131700001</v>
      </c>
    </row>
    <row r="22" spans="1:6">
      <c r="A22" s="55"/>
      <c r="B22" s="56"/>
      <c r="C22" s="57" t="s">
        <v>34</v>
      </c>
      <c r="D22" s="58" t="s">
        <v>30</v>
      </c>
      <c r="E22" s="59">
        <v>1.5892440095</v>
      </c>
      <c r="F22" s="60">
        <v>449.20189419100001</v>
      </c>
    </row>
    <row r="23" spans="1:6">
      <c r="A23" s="55"/>
      <c r="B23" s="56"/>
      <c r="C23" s="57" t="s">
        <v>35</v>
      </c>
      <c r="D23" s="58" t="s">
        <v>30</v>
      </c>
      <c r="E23" s="59">
        <v>0</v>
      </c>
      <c r="F23" s="60">
        <v>0.3211075363</v>
      </c>
    </row>
    <row r="24" spans="1:6">
      <c r="A24" s="55"/>
      <c r="B24" s="56"/>
      <c r="C24" s="57" t="s">
        <v>36</v>
      </c>
      <c r="D24" s="58" t="s">
        <v>30</v>
      </c>
      <c r="E24" s="59">
        <v>0</v>
      </c>
      <c r="F24" s="60">
        <v>2.3550633000000001E-2</v>
      </c>
    </row>
    <row r="25" spans="1:6">
      <c r="A25" s="61"/>
      <c r="B25" s="62"/>
      <c r="C25" s="63" t="s">
        <v>37</v>
      </c>
      <c r="D25" s="64" t="s">
        <v>30</v>
      </c>
      <c r="E25" s="65">
        <v>0</v>
      </c>
      <c r="F25" s="66">
        <v>146.26432503199999</v>
      </c>
    </row>
    <row r="26" spans="1:6">
      <c r="A26" s="51"/>
      <c r="B26" s="47" t="s">
        <v>38</v>
      </c>
      <c r="C26" s="67" t="s">
        <v>39</v>
      </c>
      <c r="D26" s="48" t="s">
        <v>12</v>
      </c>
      <c r="E26" s="53">
        <v>0</v>
      </c>
      <c r="F26" s="54">
        <v>36.442779835499998</v>
      </c>
    </row>
    <row r="27" spans="1:6">
      <c r="A27" s="55"/>
      <c r="B27" s="56"/>
      <c r="C27" s="57" t="s">
        <v>40</v>
      </c>
      <c r="D27" s="58" t="s">
        <v>12</v>
      </c>
      <c r="E27" s="59">
        <v>0</v>
      </c>
      <c r="F27" s="60">
        <v>6.7230667625000002</v>
      </c>
    </row>
    <row r="28" spans="1:6">
      <c r="A28" s="55"/>
      <c r="B28" s="56"/>
      <c r="C28" s="57" t="s">
        <v>41</v>
      </c>
      <c r="D28" s="58" t="s">
        <v>12</v>
      </c>
      <c r="E28" s="59">
        <v>0</v>
      </c>
      <c r="F28" s="60">
        <v>61.523224234700002</v>
      </c>
    </row>
    <row r="29" spans="1:6">
      <c r="A29" s="55"/>
      <c r="B29" s="56"/>
      <c r="C29" s="57" t="s">
        <v>42</v>
      </c>
      <c r="D29" s="58" t="s">
        <v>12</v>
      </c>
      <c r="E29" s="59">
        <v>0</v>
      </c>
      <c r="F29" s="60">
        <v>7.8320866063999999</v>
      </c>
    </row>
    <row r="30" spans="1:6">
      <c r="A30" s="55"/>
      <c r="B30" s="56"/>
      <c r="C30" s="57" t="s">
        <v>43</v>
      </c>
      <c r="D30" s="58" t="s">
        <v>12</v>
      </c>
      <c r="E30" s="59">
        <v>0</v>
      </c>
      <c r="F30" s="60">
        <v>532.66850073199998</v>
      </c>
    </row>
    <row r="31" spans="1:6">
      <c r="A31" s="55"/>
      <c r="B31" s="56"/>
      <c r="C31" s="68" t="s">
        <v>44</v>
      </c>
      <c r="D31" s="58" t="s">
        <v>12</v>
      </c>
      <c r="E31" s="59">
        <v>0</v>
      </c>
      <c r="F31" s="60">
        <v>20.782293622699999</v>
      </c>
    </row>
    <row r="32" spans="1:6">
      <c r="A32" s="55"/>
      <c r="B32" s="56"/>
      <c r="C32" s="57" t="s">
        <v>45</v>
      </c>
      <c r="D32" s="58" t="s">
        <v>30</v>
      </c>
      <c r="E32" s="59">
        <v>0</v>
      </c>
      <c r="F32" s="60">
        <v>82.404815174800007</v>
      </c>
    </row>
    <row r="33" spans="1:6">
      <c r="A33" s="55"/>
      <c r="B33" s="56"/>
      <c r="C33" s="57" t="s">
        <v>46</v>
      </c>
      <c r="D33" s="58" t="s">
        <v>30</v>
      </c>
      <c r="E33" s="59">
        <v>0</v>
      </c>
      <c r="F33" s="60">
        <v>68.071474436900004</v>
      </c>
    </row>
    <row r="34" spans="1:6">
      <c r="A34" s="61"/>
      <c r="B34" s="62"/>
      <c r="C34" s="63" t="s">
        <v>40</v>
      </c>
      <c r="D34" s="64" t="s">
        <v>30</v>
      </c>
      <c r="E34" s="65">
        <v>0</v>
      </c>
      <c r="F34" s="66">
        <v>6.8780679235999997</v>
      </c>
    </row>
    <row r="35" spans="1:6">
      <c r="A35" s="69"/>
      <c r="B35" s="70" t="s">
        <v>47</v>
      </c>
      <c r="C35" s="71" t="s">
        <v>48</v>
      </c>
      <c r="D35" s="48" t="s">
        <v>12</v>
      </c>
      <c r="E35" s="53">
        <v>452.41313062500001</v>
      </c>
      <c r="F35" s="72">
        <v>12693.3180756</v>
      </c>
    </row>
    <row r="36" spans="1:6">
      <c r="A36" s="73"/>
      <c r="B36" s="73"/>
      <c r="C36" s="68" t="s">
        <v>49</v>
      </c>
      <c r="D36" s="58" t="s">
        <v>12</v>
      </c>
      <c r="E36" s="59">
        <v>174.06904478999999</v>
      </c>
      <c r="F36" s="74">
        <v>4722.5830556800001</v>
      </c>
    </row>
    <row r="37" spans="1:6">
      <c r="A37" s="73"/>
      <c r="B37" s="73"/>
      <c r="C37" s="68" t="s">
        <v>50</v>
      </c>
      <c r="D37" s="58" t="s">
        <v>12</v>
      </c>
      <c r="E37" s="59">
        <v>0.73577640160000002</v>
      </c>
      <c r="F37" s="74">
        <v>988.23026725800003</v>
      </c>
    </row>
    <row r="38" spans="1:6">
      <c r="A38" s="73"/>
      <c r="B38" s="73"/>
      <c r="C38" s="68" t="s">
        <v>51</v>
      </c>
      <c r="D38" s="58" t="s">
        <v>12</v>
      </c>
      <c r="E38" s="59">
        <v>2.6917878199999998E-2</v>
      </c>
      <c r="F38" s="74">
        <v>7030.9568009200002</v>
      </c>
    </row>
    <row r="39" spans="1:6">
      <c r="A39" s="73"/>
      <c r="B39" s="73"/>
      <c r="C39" s="68" t="s">
        <v>52</v>
      </c>
      <c r="D39" s="58" t="s">
        <v>12</v>
      </c>
      <c r="E39" s="59">
        <v>0</v>
      </c>
      <c r="F39" s="74">
        <v>24.117231711199999</v>
      </c>
    </row>
    <row r="40" spans="1:6">
      <c r="A40" s="75"/>
      <c r="B40" s="75"/>
      <c r="C40" s="76" t="s">
        <v>53</v>
      </c>
      <c r="D40" s="64" t="s">
        <v>12</v>
      </c>
      <c r="E40" s="65">
        <v>0</v>
      </c>
      <c r="F40" s="77">
        <v>7264.5642012500002</v>
      </c>
    </row>
    <row r="41" spans="1:6">
      <c r="B41" s="5"/>
      <c r="C41" s="14"/>
      <c r="D41" s="7"/>
      <c r="E41" s="7"/>
      <c r="F41" s="10"/>
    </row>
    <row r="42" spans="1:6">
      <c r="B42" s="5"/>
      <c r="C42" s="14"/>
      <c r="D42" s="7"/>
      <c r="E42" s="7"/>
      <c r="F42" s="10"/>
    </row>
    <row r="43" spans="1:6">
      <c r="A43" s="80" t="s">
        <v>54</v>
      </c>
      <c r="B43" s="5"/>
      <c r="C43" s="14"/>
      <c r="D43" s="7"/>
      <c r="E43" s="7"/>
    </row>
    <row r="44" spans="1:6">
      <c r="A44" s="42" t="s">
        <v>55</v>
      </c>
      <c r="B44" s="5"/>
      <c r="C44" s="14"/>
      <c r="D44" s="7"/>
      <c r="E44" s="82" t="s">
        <v>56</v>
      </c>
    </row>
    <row r="45" spans="1:6">
      <c r="A45" s="81" t="str">
        <f>HYPERLINK("https://mapping.emergency.copernicus.eu/about/rapid-mapping-manual/", "https://mapping.emergency.copernicus.eu/about/rapid-mapping-manual/")</f>
        <v>https://mapping.emergency.copernicus.eu/about/rapid-mapping-manual/</v>
      </c>
      <c r="B45" s="5"/>
      <c r="C45" s="14"/>
      <c r="D45" s="7"/>
      <c r="E45" s="7"/>
    </row>
    <row r="46" spans="1:6">
      <c r="A46" s="42" t="str">
        <f>CONCATENATE(CHAR(169)," European Union / Copernicus Emergency Management Service")</f>
        <v>© European Union / Copernicus Emergency Management Service</v>
      </c>
      <c r="B46" s="5"/>
      <c r="C46" s="14"/>
      <c r="D46" s="7"/>
      <c r="E46" s="7"/>
    </row>
    <row r="47" spans="1:6">
      <c r="B47" s="5"/>
      <c r="C47" s="14"/>
      <c r="D47" s="7"/>
      <c r="E47" s="7"/>
    </row>
    <row r="48" spans="1:6">
      <c r="B48" s="5"/>
      <c r="C48" s="14"/>
      <c r="D48" s="7"/>
      <c r="E48" s="7"/>
    </row>
    <row r="49" spans="1:5">
      <c r="A49" s="80" t="s">
        <v>57</v>
      </c>
      <c r="B49" s="5"/>
      <c r="C49" s="14"/>
      <c r="D49" s="7"/>
      <c r="E49" s="7"/>
    </row>
    <row r="50" spans="1:5">
      <c r="A50" s="42" t="s">
        <v>58</v>
      </c>
      <c r="B50" s="5"/>
      <c r="C50" s="14"/>
      <c r="D50" s="7"/>
      <c r="E50" s="7"/>
    </row>
    <row r="51" spans="1:5">
      <c r="A51" s="42" t="s">
        <v>59</v>
      </c>
      <c r="B51" s="5"/>
      <c r="C51" s="14"/>
      <c r="D51" s="7"/>
      <c r="E51" s="7"/>
    </row>
    <row r="52" spans="1:5">
      <c r="A52" s="42" t="s">
        <v>60</v>
      </c>
      <c r="B52" s="5"/>
      <c r="C52" s="15"/>
      <c r="D52" s="7"/>
      <c r="E52" s="7"/>
    </row>
    <row r="53" spans="1:5">
      <c r="A53" s="42" t="s">
        <v>61</v>
      </c>
      <c r="B53" s="5"/>
      <c r="C53" s="15"/>
      <c r="D53" s="7"/>
      <c r="E53" s="7"/>
    </row>
    <row r="54" spans="1:5">
      <c r="B54" s="5"/>
      <c r="C54" s="15"/>
      <c r="D54" s="7"/>
      <c r="E54" s="7"/>
    </row>
    <row r="55" spans="1:5">
      <c r="B55" s="5"/>
      <c r="C55" s="15"/>
      <c r="D55" s="7"/>
      <c r="E55" s="7"/>
    </row>
    <row r="56" spans="1:5">
      <c r="A56" s="80" t="s">
        <v>62</v>
      </c>
      <c r="B56" s="5"/>
      <c r="C56" s="15"/>
      <c r="D56" s="7"/>
      <c r="E56" s="7"/>
    </row>
    <row r="57" spans="1:5">
      <c r="A57" s="42" t="s">
        <v>63</v>
      </c>
      <c r="B57" s="5"/>
      <c r="C57" s="15"/>
      <c r="D57" s="7"/>
      <c r="E57" s="7"/>
    </row>
    <row r="58" spans="1:5">
      <c r="A58" s="42" t="s">
        <v>64</v>
      </c>
      <c r="B58" s="5"/>
      <c r="C58" s="15"/>
      <c r="D58" s="7"/>
      <c r="E58" s="7"/>
    </row>
    <row r="59" spans="1:5">
      <c r="B59" s="5"/>
      <c r="C59" s="15"/>
      <c r="D59" s="7"/>
      <c r="E59" s="7"/>
    </row>
    <row r="60" spans="1:5">
      <c r="B60" s="5"/>
      <c r="C60" s="15"/>
      <c r="D60" s="7"/>
      <c r="E60" s="7"/>
    </row>
    <row r="61" spans="1:5">
      <c r="A61" s="80" t="s">
        <v>65</v>
      </c>
      <c r="B61" s="5"/>
      <c r="C61" s="15"/>
      <c r="D61" s="7"/>
      <c r="E61" s="7"/>
    </row>
    <row r="62" spans="1:5">
      <c r="A62" s="42" t="str">
        <f>CONCATENATE("Base  Vector  Layers: OpenStreetMap ", CHAR(169)," OpenStreetMap contributors  (2026); Wikimapia.org; GeoNames  2015; ")</f>
        <v xml:space="preserve">Base  Vector  Layers: OpenStreetMap © OpenStreetMap contributors  (2026); Wikimapia.org; GeoNames  2015; </v>
      </c>
      <c r="B62" s="5"/>
      <c r="C62" s="15"/>
      <c r="D62" s="7"/>
      <c r="E62" s="7"/>
    </row>
    <row r="63" spans="1:5">
      <c r="A63" s="42" t="str">
        <f>CONCATENATE("",CHAR(169)," EuroGeographics, ",CHAR(169)," TurkStat. Source: European Commission – Eurostat/GISCO, 2024." )</f>
        <v>© EuroGeographics, © TurkStat. Source: European Commission – Eurostat/GISCO, 2024.</v>
      </c>
      <c r="B63" s="5"/>
      <c r="C63" s="15"/>
      <c r="D63" s="7"/>
      <c r="E63" s="7"/>
    </row>
    <row r="64" spans="1:5">
      <c r="A64" s="42" t="str">
        <f>CONCATENATE("Corine Land Cover (CLC) 2018.")</f>
        <v>Corine Land Cover (CLC) 2018.</v>
      </c>
    </row>
    <row r="66" spans="1:1">
      <c r="A66" s="42" t="s">
        <v>66</v>
      </c>
    </row>
    <row r="67" spans="1:1">
      <c r="A67" s="42" t="str">
        <f>CONCATENATE("",CHAR(169)," EuroGeographics, ",CHAR(169)," TurkStat. Source: European Commission – Eurostat/GISCO, 2024." )</f>
        <v>© EuroGeographics, © TurkStat. Source: European Commission – Eurostat/GISCO, 2024.</v>
      </c>
    </row>
  </sheetData>
  <pageMargins left="0.7" right="0.7" top="0.75" bottom="0.75" header="0.3" footer="0.3"/>
  <pageSetup scale="1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/>
  </sheetViews>
  <sheetFormatPr defaultRowHeight="15"/>
  <cols>
    <col min="1" max="12" width="27" customWidth="1"/>
  </cols>
  <sheetData>
    <row r="1" spans="1:12">
      <c r="A1" t="s">
        <v>67</v>
      </c>
    </row>
    <row r="3" spans="1:12" ht="25.5">
      <c r="A3" s="83" t="s">
        <v>68</v>
      </c>
      <c r="B3" s="83" t="s">
        <v>69</v>
      </c>
      <c r="C3" s="83" t="s">
        <v>70</v>
      </c>
      <c r="D3" s="83" t="s">
        <v>71</v>
      </c>
      <c r="E3" s="83" t="s">
        <v>72</v>
      </c>
      <c r="F3" s="83" t="s">
        <v>73</v>
      </c>
      <c r="G3" s="83" t="s">
        <v>74</v>
      </c>
      <c r="H3" s="83" t="s">
        <v>75</v>
      </c>
      <c r="I3" s="83" t="s">
        <v>76</v>
      </c>
      <c r="J3" s="83" t="s">
        <v>77</v>
      </c>
      <c r="K3" s="83" t="s">
        <v>78</v>
      </c>
      <c r="L3" s="83" t="s">
        <v>79</v>
      </c>
    </row>
    <row r="4" spans="1:12" ht="56.25">
      <c r="A4" s="84" t="s">
        <v>80</v>
      </c>
      <c r="B4" s="85" t="s">
        <v>81</v>
      </c>
      <c r="C4" s="85" t="s">
        <v>82</v>
      </c>
      <c r="D4" s="85" t="s">
        <v>83</v>
      </c>
      <c r="E4" s="85" t="s">
        <v>84</v>
      </c>
      <c r="F4" s="85" t="s">
        <v>85</v>
      </c>
      <c r="G4" s="85" t="s">
        <v>86</v>
      </c>
      <c r="H4" s="85" t="str">
        <f>HYPERLINK("https://www.worldpop.org", "WorldPop (www.worldpop.org)")</f>
        <v>WorldPop (www.worldpop.org)</v>
      </c>
      <c r="I4" s="85" t="s">
        <v>87</v>
      </c>
      <c r="J4" s="85" t="s">
        <v>87</v>
      </c>
      <c r="K4" s="85" t="s">
        <v>87</v>
      </c>
      <c r="L4" s="85" t="s">
        <v>88</v>
      </c>
    </row>
    <row r="5" spans="1:12">
      <c r="A5" s="45" t="s">
        <v>14</v>
      </c>
      <c r="B5" s="86">
        <v>297650</v>
      </c>
      <c r="C5" s="87">
        <v>0</v>
      </c>
      <c r="D5" s="87">
        <v>299848</v>
      </c>
      <c r="E5" s="87">
        <v>280037</v>
      </c>
      <c r="F5" s="87">
        <v>291081</v>
      </c>
      <c r="G5" s="87">
        <v>319360</v>
      </c>
      <c r="H5" s="87">
        <v>289428</v>
      </c>
      <c r="I5" s="88">
        <v>253915</v>
      </c>
      <c r="J5" s="88">
        <v>104268</v>
      </c>
      <c r="K5" s="89">
        <v>41.099999999999987</v>
      </c>
      <c r="L5" s="90" t="s">
        <v>89</v>
      </c>
    </row>
    <row r="6" spans="1:12">
      <c r="A6" s="45" t="s">
        <v>90</v>
      </c>
      <c r="B6" s="86">
        <v>20</v>
      </c>
      <c r="C6" s="87">
        <v>0</v>
      </c>
      <c r="D6" s="87">
        <v>99</v>
      </c>
      <c r="E6" s="87">
        <v>7</v>
      </c>
      <c r="F6" s="87">
        <v>9</v>
      </c>
      <c r="G6" s="87">
        <v>30</v>
      </c>
      <c r="H6" s="87">
        <v>20</v>
      </c>
      <c r="I6" s="88">
        <v>26</v>
      </c>
      <c r="J6" s="88">
        <v>31</v>
      </c>
      <c r="K6" s="89">
        <v>117.4</v>
      </c>
      <c r="L6" s="91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F8" sqref="F8"/>
    </sheetView>
  </sheetViews>
  <sheetFormatPr defaultRowHeight="15"/>
  <cols>
    <col min="1" max="1" width="10" customWidth="1"/>
    <col min="2" max="5" width="30" customWidth="1"/>
    <col min="6" max="7" width="10" customWidth="1"/>
  </cols>
  <sheetData>
    <row r="1" spans="1:8">
      <c r="A1" s="50" t="s">
        <v>5</v>
      </c>
    </row>
    <row r="2" spans="1:8">
      <c r="A2" s="50" t="s">
        <v>92</v>
      </c>
    </row>
    <row r="4" spans="1:8">
      <c r="A4" s="41" t="s">
        <v>93</v>
      </c>
      <c r="B4" s="41" t="s">
        <v>94</v>
      </c>
      <c r="C4" s="41" t="s">
        <v>95</v>
      </c>
      <c r="D4" s="41" t="s">
        <v>96</v>
      </c>
      <c r="E4" s="41" t="s">
        <v>97</v>
      </c>
      <c r="F4" s="41" t="s">
        <v>98</v>
      </c>
      <c r="G4" s="41" t="s">
        <v>99</v>
      </c>
      <c r="H4" s="41" t="s">
        <v>100</v>
      </c>
    </row>
    <row r="6" spans="1:8">
      <c r="A6" s="42">
        <v>0</v>
      </c>
      <c r="B6" s="42" t="s">
        <v>101</v>
      </c>
      <c r="C6" s="42" t="s">
        <v>102</v>
      </c>
      <c r="D6" s="42" t="s">
        <v>103</v>
      </c>
      <c r="E6" s="42" t="s">
        <v>11</v>
      </c>
      <c r="F6" s="42">
        <v>2</v>
      </c>
      <c r="G6" s="42">
        <v>30</v>
      </c>
      <c r="H6" s="42">
        <v>627.24486516100001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/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104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100</v>
      </c>
    </row>
    <row r="6" spans="1:12">
      <c r="A6" s="42">
        <v>0</v>
      </c>
      <c r="B6" s="42">
        <v>12</v>
      </c>
      <c r="C6" s="42" t="s">
        <v>112</v>
      </c>
      <c r="D6" s="42">
        <v>122</v>
      </c>
      <c r="E6" s="42" t="s">
        <v>21</v>
      </c>
      <c r="F6" s="42" t="s">
        <v>113</v>
      </c>
      <c r="G6" s="42" t="s">
        <v>114</v>
      </c>
      <c r="H6" s="42">
        <v>997</v>
      </c>
      <c r="I6" s="42">
        <v>994</v>
      </c>
      <c r="J6" s="42" t="s">
        <v>115</v>
      </c>
      <c r="K6" s="42">
        <v>46</v>
      </c>
      <c r="L6" s="42">
        <v>11.055161873099999</v>
      </c>
    </row>
    <row r="7" spans="1:12">
      <c r="A7" s="42">
        <v>1</v>
      </c>
      <c r="B7" s="42">
        <v>12</v>
      </c>
      <c r="C7" s="42" t="s">
        <v>112</v>
      </c>
      <c r="D7" s="42">
        <v>123</v>
      </c>
      <c r="E7" s="42" t="s">
        <v>22</v>
      </c>
      <c r="F7" s="42" t="s">
        <v>113</v>
      </c>
      <c r="G7" s="42" t="s">
        <v>114</v>
      </c>
      <c r="H7" s="42">
        <v>997</v>
      </c>
      <c r="I7" s="42">
        <v>994</v>
      </c>
      <c r="J7" s="42" t="s">
        <v>115</v>
      </c>
      <c r="K7" s="42">
        <v>642</v>
      </c>
      <c r="L7" s="42">
        <v>70.073662470399995</v>
      </c>
    </row>
    <row r="8" spans="1:12">
      <c r="A8" s="42">
        <v>2</v>
      </c>
      <c r="B8" s="42">
        <v>12</v>
      </c>
      <c r="C8" s="42" t="s">
        <v>112</v>
      </c>
      <c r="D8" s="42">
        <v>1251</v>
      </c>
      <c r="E8" s="42" t="s">
        <v>23</v>
      </c>
      <c r="F8" s="42" t="s">
        <v>113</v>
      </c>
      <c r="G8" s="42" t="s">
        <v>114</v>
      </c>
      <c r="H8" s="42">
        <v>997</v>
      </c>
      <c r="I8" s="42">
        <v>994</v>
      </c>
      <c r="J8" s="42" t="s">
        <v>115</v>
      </c>
      <c r="K8" s="42">
        <v>689</v>
      </c>
      <c r="L8" s="42">
        <v>390.66948032800002</v>
      </c>
    </row>
    <row r="9" spans="1:12">
      <c r="A9" s="42">
        <v>3</v>
      </c>
      <c r="B9" s="42">
        <v>12</v>
      </c>
      <c r="C9" s="42" t="s">
        <v>112</v>
      </c>
      <c r="D9" s="42">
        <v>1263</v>
      </c>
      <c r="E9" s="42" t="s">
        <v>24</v>
      </c>
      <c r="F9" s="42" t="s">
        <v>113</v>
      </c>
      <c r="G9" s="42" t="s">
        <v>114</v>
      </c>
      <c r="H9" s="42">
        <v>997</v>
      </c>
      <c r="I9" s="42">
        <v>994</v>
      </c>
      <c r="J9" s="42" t="s">
        <v>115</v>
      </c>
      <c r="K9" s="42">
        <v>281</v>
      </c>
      <c r="L9" s="42">
        <v>205.56636774099999</v>
      </c>
    </row>
    <row r="10" spans="1:12">
      <c r="A10" s="42">
        <v>4</v>
      </c>
      <c r="B10" s="42">
        <v>12</v>
      </c>
      <c r="C10" s="42" t="s">
        <v>112</v>
      </c>
      <c r="D10" s="42">
        <v>1264</v>
      </c>
      <c r="E10" s="42" t="s">
        <v>25</v>
      </c>
      <c r="F10" s="42" t="s">
        <v>113</v>
      </c>
      <c r="G10" s="42" t="s">
        <v>114</v>
      </c>
      <c r="H10" s="42">
        <v>997</v>
      </c>
      <c r="I10" s="42">
        <v>994</v>
      </c>
      <c r="J10" s="42" t="s">
        <v>115</v>
      </c>
      <c r="K10" s="42">
        <v>4</v>
      </c>
      <c r="L10" s="42">
        <v>0.95941529299999995</v>
      </c>
    </row>
    <row r="11" spans="1:12">
      <c r="A11" s="42">
        <v>5</v>
      </c>
      <c r="B11" s="42">
        <v>12</v>
      </c>
      <c r="C11" s="42" t="s">
        <v>112</v>
      </c>
      <c r="D11" s="42">
        <v>1279</v>
      </c>
      <c r="E11" s="42" t="s">
        <v>26</v>
      </c>
      <c r="F11" s="42" t="s">
        <v>113</v>
      </c>
      <c r="G11" s="42" t="s">
        <v>114</v>
      </c>
      <c r="H11" s="42">
        <v>997</v>
      </c>
      <c r="I11" s="42">
        <v>994</v>
      </c>
      <c r="J11" s="42" t="s">
        <v>115</v>
      </c>
      <c r="K11" s="42">
        <v>2</v>
      </c>
      <c r="L11" s="42">
        <v>9.4013142300000005E-2</v>
      </c>
    </row>
    <row r="12" spans="1:12">
      <c r="A12" s="42">
        <v>6</v>
      </c>
      <c r="B12" s="42">
        <v>12</v>
      </c>
      <c r="C12" s="42" t="s">
        <v>112</v>
      </c>
      <c r="D12" s="42">
        <v>1280</v>
      </c>
      <c r="E12" s="42" t="s">
        <v>27</v>
      </c>
      <c r="F12" s="42" t="s">
        <v>113</v>
      </c>
      <c r="G12" s="42" t="s">
        <v>114</v>
      </c>
      <c r="H12" s="42">
        <v>997</v>
      </c>
      <c r="I12" s="42">
        <v>994</v>
      </c>
      <c r="J12" s="42" t="s">
        <v>115</v>
      </c>
      <c r="K12" s="42">
        <v>184</v>
      </c>
      <c r="L12" s="42">
        <v>32.790436938600003</v>
      </c>
    </row>
    <row r="13" spans="1:12">
      <c r="A13" s="42">
        <v>7</v>
      </c>
      <c r="B13" s="42">
        <v>11</v>
      </c>
      <c r="C13" s="42" t="s">
        <v>20</v>
      </c>
      <c r="D13" s="42">
        <v>997</v>
      </c>
      <c r="E13" s="42" t="s">
        <v>115</v>
      </c>
      <c r="F13" s="42" t="s">
        <v>113</v>
      </c>
      <c r="G13" s="42" t="s">
        <v>114</v>
      </c>
      <c r="H13" s="42">
        <v>997</v>
      </c>
      <c r="I13" s="42">
        <v>994</v>
      </c>
      <c r="J13" s="42" t="s">
        <v>115</v>
      </c>
      <c r="K13" s="42">
        <v>6214</v>
      </c>
      <c r="L13" s="42">
        <v>2169.3010405300001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/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116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117</v>
      </c>
    </row>
    <row r="6" spans="1:12">
      <c r="A6" s="42">
        <v>0</v>
      </c>
      <c r="B6" s="42">
        <v>211</v>
      </c>
      <c r="C6" s="42" t="s">
        <v>118</v>
      </c>
      <c r="D6" s="42">
        <v>2111</v>
      </c>
      <c r="E6" s="42" t="s">
        <v>29</v>
      </c>
      <c r="F6" s="42" t="s">
        <v>113</v>
      </c>
      <c r="G6" s="42" t="s">
        <v>115</v>
      </c>
      <c r="H6" s="42">
        <v>997</v>
      </c>
      <c r="I6" s="42">
        <v>994</v>
      </c>
      <c r="J6" s="42" t="s">
        <v>115</v>
      </c>
      <c r="K6" s="42">
        <v>408</v>
      </c>
      <c r="L6" s="42">
        <v>78.654658189900005</v>
      </c>
    </row>
    <row r="7" spans="1:12">
      <c r="A7" s="42">
        <v>1</v>
      </c>
      <c r="B7" s="42">
        <v>211</v>
      </c>
      <c r="C7" s="42" t="s">
        <v>118</v>
      </c>
      <c r="D7" s="42">
        <v>21120</v>
      </c>
      <c r="E7" s="42" t="s">
        <v>31</v>
      </c>
      <c r="F7" s="42" t="s">
        <v>113</v>
      </c>
      <c r="G7" s="42" t="s">
        <v>115</v>
      </c>
      <c r="H7" s="42">
        <v>997</v>
      </c>
      <c r="I7" s="42">
        <v>994</v>
      </c>
      <c r="J7" s="42" t="s">
        <v>115</v>
      </c>
      <c r="K7" s="42">
        <v>656</v>
      </c>
      <c r="L7" s="42">
        <v>122.52966377600001</v>
      </c>
    </row>
    <row r="8" spans="1:12">
      <c r="A8" s="42">
        <v>2</v>
      </c>
      <c r="B8" s="42">
        <v>211</v>
      </c>
      <c r="C8" s="42" t="s">
        <v>118</v>
      </c>
      <c r="D8" s="42">
        <v>21121</v>
      </c>
      <c r="E8" s="42" t="s">
        <v>32</v>
      </c>
      <c r="F8" s="42" t="s">
        <v>113</v>
      </c>
      <c r="G8" s="42" t="s">
        <v>115</v>
      </c>
      <c r="H8" s="42">
        <v>997</v>
      </c>
      <c r="I8" s="42">
        <v>994</v>
      </c>
      <c r="J8" s="42" t="s">
        <v>115</v>
      </c>
      <c r="K8" s="42">
        <v>246</v>
      </c>
      <c r="L8" s="42">
        <v>54.1932052664</v>
      </c>
    </row>
    <row r="9" spans="1:12">
      <c r="A9" s="42">
        <v>3</v>
      </c>
      <c r="B9" s="42">
        <v>211</v>
      </c>
      <c r="C9" s="42" t="s">
        <v>118</v>
      </c>
      <c r="D9" s="42">
        <v>21122</v>
      </c>
      <c r="E9" s="42" t="s">
        <v>33</v>
      </c>
      <c r="F9" s="42" t="s">
        <v>113</v>
      </c>
      <c r="G9" s="42" t="s">
        <v>115</v>
      </c>
      <c r="H9" s="42">
        <v>997</v>
      </c>
      <c r="I9" s="42">
        <v>994</v>
      </c>
      <c r="J9" s="42" t="s">
        <v>115</v>
      </c>
      <c r="K9" s="42">
        <v>12860</v>
      </c>
      <c r="L9" s="42">
        <v>1145.7391131700001</v>
      </c>
    </row>
    <row r="10" spans="1:12">
      <c r="A10" s="42">
        <v>4</v>
      </c>
      <c r="B10" s="42">
        <v>211</v>
      </c>
      <c r="C10" s="42" t="s">
        <v>118</v>
      </c>
      <c r="D10" s="42">
        <v>21124</v>
      </c>
      <c r="E10" s="42" t="s">
        <v>34</v>
      </c>
      <c r="F10" s="42" t="s">
        <v>113</v>
      </c>
      <c r="G10" s="42" t="s">
        <v>115</v>
      </c>
      <c r="H10" s="42">
        <v>997</v>
      </c>
      <c r="I10" s="42">
        <v>994</v>
      </c>
      <c r="J10" s="42" t="s">
        <v>115</v>
      </c>
      <c r="K10" s="42">
        <v>2251</v>
      </c>
      <c r="L10" s="42">
        <v>449.20189419100001</v>
      </c>
    </row>
    <row r="11" spans="1:12">
      <c r="A11" s="42">
        <v>5</v>
      </c>
      <c r="B11" s="42">
        <v>212</v>
      </c>
      <c r="C11" s="42" t="s">
        <v>119</v>
      </c>
      <c r="D11" s="42">
        <v>2121</v>
      </c>
      <c r="E11" s="42" t="s">
        <v>37</v>
      </c>
      <c r="F11" s="42" t="s">
        <v>113</v>
      </c>
      <c r="G11" s="42" t="s">
        <v>115</v>
      </c>
      <c r="H11" s="42">
        <v>997</v>
      </c>
      <c r="I11" s="42">
        <v>994</v>
      </c>
      <c r="J11" s="42" t="s">
        <v>115</v>
      </c>
      <c r="K11" s="42">
        <v>368</v>
      </c>
      <c r="L11" s="42">
        <v>146.26432503199999</v>
      </c>
    </row>
    <row r="12" spans="1:12">
      <c r="A12" s="42">
        <v>6</v>
      </c>
      <c r="B12" s="42">
        <v>212</v>
      </c>
      <c r="C12" s="42" t="s">
        <v>119</v>
      </c>
      <c r="D12" s="42">
        <v>21210</v>
      </c>
      <c r="E12" s="42" t="s">
        <v>35</v>
      </c>
      <c r="F12" s="42" t="s">
        <v>113</v>
      </c>
      <c r="G12" s="42" t="s">
        <v>115</v>
      </c>
      <c r="H12" s="42">
        <v>997</v>
      </c>
      <c r="I12" s="42">
        <v>994</v>
      </c>
      <c r="J12" s="42" t="s">
        <v>115</v>
      </c>
      <c r="K12" s="42">
        <v>1</v>
      </c>
      <c r="L12" s="42">
        <v>0.3211075363</v>
      </c>
    </row>
    <row r="13" spans="1:12">
      <c r="A13" s="42">
        <v>7</v>
      </c>
      <c r="B13" s="42">
        <v>212</v>
      </c>
      <c r="C13" s="42" t="s">
        <v>119</v>
      </c>
      <c r="D13" s="42">
        <v>21220</v>
      </c>
      <c r="E13" s="42" t="s">
        <v>36</v>
      </c>
      <c r="F13" s="42" t="s">
        <v>113</v>
      </c>
      <c r="G13" s="42" t="s">
        <v>115</v>
      </c>
      <c r="H13" s="42">
        <v>997</v>
      </c>
      <c r="I13" s="42">
        <v>994</v>
      </c>
      <c r="J13" s="42" t="s">
        <v>115</v>
      </c>
      <c r="K13" s="42">
        <v>2</v>
      </c>
      <c r="L13" s="42">
        <v>2.3550633000000001E-2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>
      <selection activeCell="H6" sqref="H6"/>
    </sheetView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8" width="13.28515625" customWidth="1"/>
    <col min="9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120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117</v>
      </c>
    </row>
    <row r="6" spans="1:12">
      <c r="A6" s="42">
        <v>0</v>
      </c>
      <c r="B6" s="42">
        <v>211</v>
      </c>
      <c r="C6" s="42" t="s">
        <v>118</v>
      </c>
      <c r="D6" s="42">
        <v>21124</v>
      </c>
      <c r="E6" s="42" t="s">
        <v>34</v>
      </c>
      <c r="F6" s="42" t="s">
        <v>113</v>
      </c>
      <c r="G6" s="42" t="s">
        <v>115</v>
      </c>
      <c r="H6" s="42">
        <v>997</v>
      </c>
      <c r="I6" s="42">
        <v>994</v>
      </c>
      <c r="J6" s="42" t="s">
        <v>115</v>
      </c>
      <c r="K6" s="42">
        <v>3</v>
      </c>
      <c r="L6" s="42">
        <v>1.5892440095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workbookViewId="0"/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121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100</v>
      </c>
    </row>
    <row r="6" spans="1:12">
      <c r="A6" s="42">
        <v>0</v>
      </c>
      <c r="B6" s="42">
        <v>215</v>
      </c>
      <c r="C6" s="42" t="s">
        <v>122</v>
      </c>
      <c r="D6" s="42">
        <v>21512</v>
      </c>
      <c r="E6" s="42" t="s">
        <v>39</v>
      </c>
      <c r="F6" s="42" t="s">
        <v>113</v>
      </c>
      <c r="G6" s="42" t="s">
        <v>115</v>
      </c>
      <c r="H6" s="42">
        <v>997</v>
      </c>
      <c r="I6" s="42">
        <v>994</v>
      </c>
      <c r="J6" s="42" t="s">
        <v>115</v>
      </c>
      <c r="K6" s="42">
        <v>8</v>
      </c>
      <c r="L6" s="42">
        <v>36.442779835499998</v>
      </c>
    </row>
    <row r="7" spans="1:12">
      <c r="A7" s="42">
        <v>1</v>
      </c>
      <c r="B7" s="42">
        <v>215</v>
      </c>
      <c r="C7" s="42" t="s">
        <v>122</v>
      </c>
      <c r="D7" s="42">
        <v>2152</v>
      </c>
      <c r="E7" s="42" t="s">
        <v>40</v>
      </c>
      <c r="F7" s="42" t="s">
        <v>113</v>
      </c>
      <c r="G7" s="42" t="s">
        <v>115</v>
      </c>
      <c r="H7" s="42">
        <v>997</v>
      </c>
      <c r="I7" s="42">
        <v>994</v>
      </c>
      <c r="J7" s="42" t="s">
        <v>115</v>
      </c>
      <c r="K7" s="42">
        <v>11</v>
      </c>
      <c r="L7" s="42">
        <v>6.7230667625000002</v>
      </c>
    </row>
    <row r="8" spans="1:12">
      <c r="A8" s="42">
        <v>2</v>
      </c>
      <c r="B8" s="42">
        <v>23</v>
      </c>
      <c r="C8" s="42" t="s">
        <v>123</v>
      </c>
      <c r="D8" s="42">
        <v>2301</v>
      </c>
      <c r="E8" s="42" t="s">
        <v>41</v>
      </c>
      <c r="F8" s="42" t="s">
        <v>113</v>
      </c>
      <c r="G8" s="42" t="s">
        <v>115</v>
      </c>
      <c r="H8" s="42">
        <v>997</v>
      </c>
      <c r="I8" s="42">
        <v>994</v>
      </c>
      <c r="J8" s="42" t="s">
        <v>115</v>
      </c>
      <c r="K8" s="42">
        <v>19</v>
      </c>
      <c r="L8" s="42">
        <v>61.523224234700002</v>
      </c>
    </row>
    <row r="9" spans="1:12">
      <c r="A9" s="42">
        <v>3</v>
      </c>
      <c r="B9" s="42">
        <v>23</v>
      </c>
      <c r="C9" s="42" t="s">
        <v>123</v>
      </c>
      <c r="D9" s="42">
        <v>2302</v>
      </c>
      <c r="E9" s="42" t="s">
        <v>42</v>
      </c>
      <c r="F9" s="42" t="s">
        <v>113</v>
      </c>
      <c r="G9" s="42" t="s">
        <v>115</v>
      </c>
      <c r="H9" s="42">
        <v>997</v>
      </c>
      <c r="I9" s="42">
        <v>994</v>
      </c>
      <c r="J9" s="42" t="s">
        <v>115</v>
      </c>
      <c r="K9" s="42">
        <v>7</v>
      </c>
      <c r="L9" s="42">
        <v>7.8320866063999999</v>
      </c>
    </row>
    <row r="10" spans="1:12">
      <c r="A10" s="42">
        <v>4</v>
      </c>
      <c r="B10" s="42">
        <v>24</v>
      </c>
      <c r="C10" s="42" t="s">
        <v>124</v>
      </c>
      <c r="D10" s="42">
        <v>241</v>
      </c>
      <c r="E10" s="42" t="s">
        <v>43</v>
      </c>
      <c r="F10" s="42" t="s">
        <v>113</v>
      </c>
      <c r="G10" s="42" t="s">
        <v>115</v>
      </c>
      <c r="H10" s="42">
        <v>997</v>
      </c>
      <c r="I10" s="42">
        <v>994</v>
      </c>
      <c r="J10" s="42" t="s">
        <v>115</v>
      </c>
      <c r="K10" s="42">
        <v>5545</v>
      </c>
      <c r="L10" s="42">
        <v>532.66850073199998</v>
      </c>
    </row>
    <row r="11" spans="1:12">
      <c r="A11" s="42">
        <v>5</v>
      </c>
      <c r="B11" s="42">
        <v>24</v>
      </c>
      <c r="C11" s="42" t="s">
        <v>124</v>
      </c>
      <c r="D11" s="42">
        <v>242</v>
      </c>
      <c r="E11" s="42" t="s">
        <v>44</v>
      </c>
      <c r="F11" s="42" t="s">
        <v>113</v>
      </c>
      <c r="G11" s="42" t="s">
        <v>115</v>
      </c>
      <c r="H11" s="42">
        <v>997</v>
      </c>
      <c r="I11" s="42">
        <v>994</v>
      </c>
      <c r="J11" s="42" t="s">
        <v>115</v>
      </c>
      <c r="K11" s="42">
        <v>1</v>
      </c>
      <c r="L11" s="42">
        <v>20.782293622699999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workbookViewId="0"/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125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117</v>
      </c>
    </row>
    <row r="6" spans="1:12">
      <c r="A6" s="42">
        <v>0</v>
      </c>
      <c r="B6" s="42">
        <v>215</v>
      </c>
      <c r="C6" s="42" t="s">
        <v>122</v>
      </c>
      <c r="D6" s="42">
        <v>2152</v>
      </c>
      <c r="E6" s="42" t="s">
        <v>40</v>
      </c>
      <c r="F6" s="42" t="s">
        <v>113</v>
      </c>
      <c r="G6" s="42" t="s">
        <v>115</v>
      </c>
      <c r="H6" s="42">
        <v>997</v>
      </c>
      <c r="I6" s="42">
        <v>994</v>
      </c>
      <c r="J6" s="42" t="s">
        <v>115</v>
      </c>
      <c r="K6" s="42">
        <v>57</v>
      </c>
      <c r="L6" s="42">
        <v>6.8780679235999997</v>
      </c>
    </row>
    <row r="7" spans="1:12">
      <c r="A7" s="42">
        <v>1</v>
      </c>
      <c r="B7" s="42">
        <v>22</v>
      </c>
      <c r="C7" s="42" t="s">
        <v>126</v>
      </c>
      <c r="D7" s="42">
        <v>221</v>
      </c>
      <c r="E7" s="42" t="s">
        <v>45</v>
      </c>
      <c r="F7" s="42" t="s">
        <v>113</v>
      </c>
      <c r="G7" s="42" t="s">
        <v>115</v>
      </c>
      <c r="H7" s="42">
        <v>997</v>
      </c>
      <c r="I7" s="42">
        <v>994</v>
      </c>
      <c r="J7" s="42" t="s">
        <v>115</v>
      </c>
      <c r="K7" s="42">
        <v>62</v>
      </c>
      <c r="L7" s="42">
        <v>82.404815174800007</v>
      </c>
    </row>
    <row r="8" spans="1:12">
      <c r="A8" s="42">
        <v>2</v>
      </c>
      <c r="B8" s="42">
        <v>22</v>
      </c>
      <c r="C8" s="42" t="s">
        <v>126</v>
      </c>
      <c r="D8" s="42">
        <v>222</v>
      </c>
      <c r="E8" s="42" t="s">
        <v>46</v>
      </c>
      <c r="F8" s="42" t="s">
        <v>113</v>
      </c>
      <c r="G8" s="42" t="s">
        <v>115</v>
      </c>
      <c r="H8" s="42">
        <v>997</v>
      </c>
      <c r="I8" s="42">
        <v>994</v>
      </c>
      <c r="J8" s="42" t="s">
        <v>115</v>
      </c>
      <c r="K8" s="42">
        <v>107</v>
      </c>
      <c r="L8" s="42">
        <v>68.071474436900004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workbookViewId="0"/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127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100</v>
      </c>
    </row>
    <row r="6" spans="1:12">
      <c r="A6" s="42">
        <v>0</v>
      </c>
      <c r="B6" s="42">
        <v>2</v>
      </c>
      <c r="C6" s="42" t="s">
        <v>128</v>
      </c>
      <c r="D6" s="42">
        <v>23</v>
      </c>
      <c r="E6" s="42" t="s">
        <v>129</v>
      </c>
      <c r="F6" s="42" t="s">
        <v>130</v>
      </c>
      <c r="G6" s="42" t="s">
        <v>115</v>
      </c>
      <c r="H6" s="42">
        <v>997</v>
      </c>
      <c r="I6" s="42">
        <v>992</v>
      </c>
      <c r="J6" s="42" t="s">
        <v>115</v>
      </c>
      <c r="K6" s="42">
        <v>12</v>
      </c>
      <c r="L6" s="42">
        <v>7030.9568009200002</v>
      </c>
    </row>
    <row r="7" spans="1:12">
      <c r="A7" s="42">
        <v>1</v>
      </c>
      <c r="B7" s="42">
        <v>2</v>
      </c>
      <c r="C7" s="42" t="s">
        <v>128</v>
      </c>
      <c r="D7" s="42">
        <v>24</v>
      </c>
      <c r="E7" s="42" t="s">
        <v>131</v>
      </c>
      <c r="F7" s="42" t="s">
        <v>130</v>
      </c>
      <c r="G7" s="42" t="s">
        <v>115</v>
      </c>
      <c r="H7" s="42">
        <v>997</v>
      </c>
      <c r="I7" s="42">
        <v>992</v>
      </c>
      <c r="J7" s="42" t="s">
        <v>115</v>
      </c>
      <c r="K7" s="42">
        <v>1</v>
      </c>
      <c r="L7" s="42">
        <v>24.117231711199999</v>
      </c>
    </row>
    <row r="8" spans="1:12">
      <c r="A8" s="42">
        <v>2</v>
      </c>
      <c r="B8" s="42">
        <v>3</v>
      </c>
      <c r="C8" s="42" t="s">
        <v>132</v>
      </c>
      <c r="D8" s="42">
        <v>31</v>
      </c>
      <c r="E8" s="42" t="s">
        <v>133</v>
      </c>
      <c r="F8" s="42" t="s">
        <v>130</v>
      </c>
      <c r="G8" s="42" t="s">
        <v>115</v>
      </c>
      <c r="H8" s="42">
        <v>997</v>
      </c>
      <c r="I8" s="42">
        <v>992</v>
      </c>
      <c r="J8" s="42" t="s">
        <v>115</v>
      </c>
      <c r="K8" s="42">
        <v>21</v>
      </c>
      <c r="L8" s="42">
        <v>988.23026725800003</v>
      </c>
    </row>
    <row r="9" spans="1:12">
      <c r="A9" s="42">
        <v>3</v>
      </c>
      <c r="B9" s="42">
        <v>3</v>
      </c>
      <c r="C9" s="42" t="s">
        <v>132</v>
      </c>
      <c r="D9" s="42">
        <v>32</v>
      </c>
      <c r="E9" s="42" t="s">
        <v>49</v>
      </c>
      <c r="F9" s="42" t="s">
        <v>130</v>
      </c>
      <c r="G9" s="42" t="s">
        <v>115</v>
      </c>
      <c r="H9" s="42">
        <v>997</v>
      </c>
      <c r="I9" s="42">
        <v>992</v>
      </c>
      <c r="J9" s="42" t="s">
        <v>115</v>
      </c>
      <c r="K9" s="42">
        <v>30</v>
      </c>
      <c r="L9" s="42">
        <v>4722.5830556800001</v>
      </c>
    </row>
    <row r="10" spans="1:12">
      <c r="A10" s="42">
        <v>4</v>
      </c>
      <c r="B10" s="42">
        <v>4</v>
      </c>
      <c r="C10" s="42" t="s">
        <v>134</v>
      </c>
      <c r="D10" s="42">
        <v>41</v>
      </c>
      <c r="E10" s="42" t="s">
        <v>135</v>
      </c>
      <c r="F10" s="42" t="s">
        <v>130</v>
      </c>
      <c r="G10" s="42" t="s">
        <v>115</v>
      </c>
      <c r="H10" s="42">
        <v>997</v>
      </c>
      <c r="I10" s="42">
        <v>992</v>
      </c>
      <c r="J10" s="42" t="s">
        <v>115</v>
      </c>
      <c r="K10" s="42">
        <v>2</v>
      </c>
      <c r="L10" s="42">
        <v>12693.3180756</v>
      </c>
    </row>
    <row r="11" spans="1:12">
      <c r="A11" s="42">
        <v>5</v>
      </c>
      <c r="B11" s="42">
        <v>998</v>
      </c>
      <c r="C11" s="42" t="s">
        <v>53</v>
      </c>
      <c r="D11" s="42">
        <v>998</v>
      </c>
      <c r="E11" s="42" t="s">
        <v>53</v>
      </c>
      <c r="F11" s="42" t="s">
        <v>130</v>
      </c>
      <c r="G11" s="42" t="s">
        <v>115</v>
      </c>
      <c r="H11" s="42">
        <v>997</v>
      </c>
      <c r="I11" s="42">
        <v>992</v>
      </c>
      <c r="J11" s="42" t="s">
        <v>115</v>
      </c>
      <c r="K11" s="42">
        <v>48</v>
      </c>
      <c r="L11" s="42">
        <v>7264.5642012500002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workbookViewId="0"/>
  </sheetViews>
  <sheetFormatPr defaultRowHeight="15"/>
  <cols>
    <col min="1" max="2" width="10" customWidth="1"/>
    <col min="3" max="3" width="30" customWidth="1"/>
    <col min="4" max="4" width="10" customWidth="1"/>
    <col min="5" max="7" width="30" customWidth="1"/>
    <col min="8" max="9" width="10" customWidth="1"/>
    <col min="10" max="10" width="30" customWidth="1"/>
    <col min="11" max="11" width="10" customWidth="1"/>
  </cols>
  <sheetData>
    <row r="1" spans="1:12">
      <c r="A1" s="50" t="s">
        <v>5</v>
      </c>
    </row>
    <row r="2" spans="1:12">
      <c r="A2" s="50" t="s">
        <v>136</v>
      </c>
    </row>
    <row r="4" spans="1:12">
      <c r="A4" s="41" t="s">
        <v>93</v>
      </c>
      <c r="B4" s="41" t="s">
        <v>105</v>
      </c>
      <c r="C4" s="41" t="s">
        <v>106</v>
      </c>
      <c r="D4" s="41" t="s">
        <v>107</v>
      </c>
      <c r="E4" s="41" t="s">
        <v>108</v>
      </c>
      <c r="F4" s="41" t="s">
        <v>109</v>
      </c>
      <c r="G4" s="41" t="s">
        <v>97</v>
      </c>
      <c r="H4" s="41" t="s">
        <v>98</v>
      </c>
      <c r="I4" s="41" t="s">
        <v>110</v>
      </c>
      <c r="J4" s="41" t="s">
        <v>111</v>
      </c>
      <c r="K4" s="41" t="s">
        <v>99</v>
      </c>
      <c r="L4" s="41" t="s">
        <v>100</v>
      </c>
    </row>
    <row r="6" spans="1:12">
      <c r="A6" s="42">
        <v>0</v>
      </c>
      <c r="B6" s="42">
        <v>2</v>
      </c>
      <c r="C6" s="42" t="s">
        <v>128</v>
      </c>
      <c r="D6" s="42">
        <v>23</v>
      </c>
      <c r="E6" s="42" t="s">
        <v>129</v>
      </c>
      <c r="F6" s="42" t="s">
        <v>130</v>
      </c>
      <c r="G6" s="42" t="s">
        <v>115</v>
      </c>
      <c r="H6" s="42">
        <v>997</v>
      </c>
      <c r="I6" s="42">
        <v>992</v>
      </c>
      <c r="J6" s="42" t="s">
        <v>115</v>
      </c>
      <c r="K6" s="42">
        <v>1</v>
      </c>
      <c r="L6" s="42">
        <v>2.6917878199999998E-2</v>
      </c>
    </row>
    <row r="7" spans="1:12">
      <c r="A7" s="42">
        <v>1</v>
      </c>
      <c r="B7" s="42">
        <v>3</v>
      </c>
      <c r="C7" s="42" t="s">
        <v>132</v>
      </c>
      <c r="D7" s="42">
        <v>31</v>
      </c>
      <c r="E7" s="42" t="s">
        <v>133</v>
      </c>
      <c r="F7" s="42" t="s">
        <v>130</v>
      </c>
      <c r="G7" s="42" t="s">
        <v>115</v>
      </c>
      <c r="H7" s="42">
        <v>997</v>
      </c>
      <c r="I7" s="42">
        <v>992</v>
      </c>
      <c r="J7" s="42" t="s">
        <v>115</v>
      </c>
      <c r="K7" s="42">
        <v>1</v>
      </c>
      <c r="L7" s="42">
        <v>0.73577640160000002</v>
      </c>
    </row>
    <row r="8" spans="1:12">
      <c r="A8" s="42">
        <v>2</v>
      </c>
      <c r="B8" s="42">
        <v>3</v>
      </c>
      <c r="C8" s="42" t="s">
        <v>132</v>
      </c>
      <c r="D8" s="42">
        <v>32</v>
      </c>
      <c r="E8" s="42" t="s">
        <v>49</v>
      </c>
      <c r="F8" s="42" t="s">
        <v>130</v>
      </c>
      <c r="G8" s="42" t="s">
        <v>115</v>
      </c>
      <c r="H8" s="42">
        <v>997</v>
      </c>
      <c r="I8" s="42">
        <v>992</v>
      </c>
      <c r="J8" s="42" t="s">
        <v>115</v>
      </c>
      <c r="K8" s="42">
        <v>5</v>
      </c>
      <c r="L8" s="42">
        <v>174.06904478999999</v>
      </c>
    </row>
    <row r="9" spans="1:12">
      <c r="A9" s="42">
        <v>3</v>
      </c>
      <c r="B9" s="42">
        <v>4</v>
      </c>
      <c r="C9" s="42" t="s">
        <v>134</v>
      </c>
      <c r="D9" s="42">
        <v>41</v>
      </c>
      <c r="E9" s="42" t="s">
        <v>135</v>
      </c>
      <c r="F9" s="42" t="s">
        <v>130</v>
      </c>
      <c r="G9" s="42" t="s">
        <v>115</v>
      </c>
      <c r="H9" s="42">
        <v>997</v>
      </c>
      <c r="I9" s="42">
        <v>992</v>
      </c>
      <c r="J9" s="42" t="s">
        <v>115</v>
      </c>
      <c r="K9" s="42">
        <v>1</v>
      </c>
      <c r="L9" s="42">
        <v>452.41313062500001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Info_Delineation</vt:lpstr>
      <vt:lpstr>Delineation</vt:lpstr>
      <vt:lpstr>Pop_Statistics</vt:lpstr>
      <vt:lpstr>_observedEventA_v1_aoi</vt:lpstr>
      <vt:lpstr>_builtUpA_v1_aoi</vt:lpstr>
      <vt:lpstr>_transportationL_v1_aoi</vt:lpstr>
      <vt:lpstr>_transportationL_v1_aff</vt:lpstr>
      <vt:lpstr>_facilitiesA_v1_aoi</vt:lpstr>
      <vt:lpstr>_facilitiesL_v1_aoi</vt:lpstr>
      <vt:lpstr>_naturalLandUseA_v1_aoi</vt:lpstr>
      <vt:lpstr>_naturalLandUseA_v1_aff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Ullrich Jörg</cp:lastModifiedBy>
  <cp:lastPrinted>2020-10-14T12:56:37Z</cp:lastPrinted>
  <dcterms:created xsi:type="dcterms:W3CDTF">2017-04-13T10:25:13Z</dcterms:created>
  <dcterms:modified xsi:type="dcterms:W3CDTF">2026-07-21T01:40:25Z</dcterms:modified>
</cp:coreProperties>
</file>